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прогнозу" sheetId="1" state="visible" r:id="rId1"/>
    <sheet xmlns:r="http://schemas.openxmlformats.org/officeDocument/2006/relationships" name="Срок до отёла" sheetId="2" state="visible" r:id="rId2"/>
    <sheet xmlns:r="http://schemas.openxmlformats.org/officeDocument/2006/relationships" name="Граф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Среднее отклонение по основным группам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 по прогнозу'!B2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 по прогнозу'!$A$3:$A$6</f>
            </numRef>
          </cat>
          <val>
            <numRef>
              <f>'Сводка по прогнозу'!$B$3:$B$6</f>
            </numRef>
          </val>
        </ser>
        <ser>
          <idx val="1"/>
          <order val="1"/>
          <tx>
            <strRef>
              <f>'Сводка по прогнозу'!C2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 по прогнозу'!$A$3:$A$6</f>
            </numRef>
          </cat>
          <val>
            <numRef>
              <f>'Сводка по прогнозу'!$C$3:$C$6</f>
            </numRef>
          </val>
        </ser>
        <ser>
          <idx val="2"/>
          <order val="2"/>
          <tx>
            <strRef>
              <f>'Сводка по прогнозу'!D2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 по прогнозу'!$A$3:$A$6</f>
            </numRef>
          </cat>
          <val>
            <numRef>
              <f>'Сводка по прогнозу'!$D$3:$D$6</f>
            </numRef>
          </val>
        </ser>
        <ser>
          <idx val="3"/>
          <order val="3"/>
          <tx>
            <strRef>
              <f>'Сводка по прогнозу'!E2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 по прогнозу'!$A$3:$A$6</f>
            </numRef>
          </cat>
          <val>
            <numRef>
              <f>'Сводка по прогнозу'!$E$3:$E$6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Среднее отклонение,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Подразделение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Средний срок до отёла по лактации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'Срок до отёла'!C2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'Срок до отёла'!$A$3:$A$8</f>
            </numRef>
          </cat>
          <val>
            <numRef>
              <f>'Срок до отёла'!$C$3:$C$8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Группа лактации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Дней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отёлов в первые 7 дней месяца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'Срок до отёла'!E22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'Срок до отёла'!$A$23:$A$26</f>
            </numRef>
          </cat>
          <val>
            <numRef>
              <f>'Срок до отёла'!$E$23:$E$26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Подразделение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Relationship Type="http://schemas.openxmlformats.org/officeDocument/2006/relationships/image" Target="/xl/media/image2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6858000" cy="342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9334500" cy="5829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Основные группы: среднее отклонение, %</t>
        </is>
      </c>
    </row>
    <row r="2">
      <c r="A2" s="1" t="inlineStr">
        <is>
          <t>Подразделение</t>
        </is>
      </c>
      <c r="B2" s="1" t="inlineStr">
        <is>
          <t>Дойные коровы</t>
        </is>
      </c>
      <c r="C2" s="1" t="inlineStr">
        <is>
          <t>Сухостойные коровы</t>
        </is>
      </c>
      <c r="D2" s="1" t="inlineStr">
        <is>
          <t>Нетели</t>
        </is>
      </c>
      <c r="E2" s="1" t="inlineStr">
        <is>
          <t>Тёлки 0–3 мес</t>
        </is>
      </c>
      <c r="F2" s="1" t="inlineStr">
        <is>
          <t>Тёлки 3–8 мес</t>
        </is>
      </c>
      <c r="G2" s="1" t="inlineStr">
        <is>
          <t>Тёлки ≥9 мес</t>
        </is>
      </c>
      <c r="H2" s="1" t="inlineStr">
        <is>
          <t>Бычки 0–2 мес</t>
        </is>
      </c>
      <c r="I2" s="1" t="inlineStr">
        <is>
          <t>Ожидаемый отёл, всего</t>
        </is>
      </c>
      <c r="J2" s="1" t="inlineStr"/>
    </row>
    <row r="3">
      <c r="A3" t="inlineStr">
        <is>
          <t>ЖК ВЫСОКОЕ</t>
        </is>
      </c>
      <c r="B3" t="n">
        <v>7.191823198950677</v>
      </c>
      <c r="C3" t="n">
        <v>9.31386056764949</v>
      </c>
      <c r="D3" t="n">
        <v>47.09218993016377</v>
      </c>
      <c r="E3" t="n">
        <v>18.32952681678138</v>
      </c>
      <c r="F3" t="n">
        <v>7.526125021755087</v>
      </c>
      <c r="G3" t="n">
        <v>24.33421391458713</v>
      </c>
      <c r="H3" t="n">
        <v>53.0214424951267</v>
      </c>
      <c r="I3" t="n">
        <v>6.035863455076469</v>
      </c>
    </row>
    <row r="4">
      <c r="A4" t="inlineStr">
        <is>
          <t>ЖК ДОБРИНО</t>
        </is>
      </c>
      <c r="B4" t="n">
        <v>7.151013097503638</v>
      </c>
      <c r="C4" t="n">
        <v>6.150691952844695</v>
      </c>
      <c r="D4" t="n">
        <v>9.155046941836567</v>
      </c>
      <c r="E4" t="n">
        <v>34.75451512102114</v>
      </c>
      <c r="F4" t="n">
        <v>11.62421148938219</v>
      </c>
      <c r="G4" t="n">
        <v>11.80723934880499</v>
      </c>
      <c r="H4" t="n">
        <v>36.17208077260755</v>
      </c>
      <c r="I4" t="n">
        <v>22.00162594668606</v>
      </c>
    </row>
    <row r="5">
      <c r="A5" t="inlineStr">
        <is>
          <t>МТФ ЭНАЛБ</t>
        </is>
      </c>
      <c r="B5" t="n">
        <v>12.03530355710083</v>
      </c>
      <c r="C5" t="n">
        <v>12.57861635220126</v>
      </c>
      <c r="D5" t="n">
        <v>80.43812058552565</v>
      </c>
      <c r="E5" t="n">
        <v>79.81288233177403</v>
      </c>
      <c r="F5" t="n">
        <v>27.45533648060724</v>
      </c>
      <c r="G5" t="n">
        <v>30.16881466690869</v>
      </c>
      <c r="H5" t="n">
        <v>193.6442849820605</v>
      </c>
      <c r="I5" t="n">
        <v>12.05050343615151</v>
      </c>
    </row>
    <row r="6">
      <c r="A6" t="inlineStr">
        <is>
          <t>РЖК ДОБРИНО</t>
        </is>
      </c>
      <c r="B6" t="n">
        <v>16.70212765957447</v>
      </c>
      <c r="C6" t="n">
        <v>7.092198581560283</v>
      </c>
      <c r="D6" t="n">
        <v>60.8695652173913</v>
      </c>
      <c r="E6" t="n">
        <v>12.59387637203928</v>
      </c>
      <c r="F6" t="n">
        <v>3.562395738040144</v>
      </c>
      <c r="G6" t="n">
        <v>25.14646237043714</v>
      </c>
      <c r="H6" t="n">
        <v>197.3941368078175</v>
      </c>
      <c r="I6" t="n">
        <v>7.943262411347517</v>
      </c>
    </row>
    <row r="8">
      <c r="A8" t="inlineStr">
        <is>
          <t>Все группы: среднее отклонение и среднее смещение</t>
        </is>
      </c>
    </row>
    <row r="9">
      <c r="A9" s="1" t="inlineStr">
        <is>
          <t>Подразделение</t>
        </is>
      </c>
      <c r="B9" s="1" t="inlineStr">
        <is>
          <t>Показатель</t>
        </is>
      </c>
      <c r="C9" s="1" t="inlineStr">
        <is>
          <t>Среднее отклонение, %</t>
        </is>
      </c>
      <c r="D9" s="1" t="inlineStr">
        <is>
          <t>Среднее смещение, гол./п.п.</t>
        </is>
      </c>
      <c r="E9" s="1" t="inlineStr">
        <is>
          <t>Средняя абсолютная ошибка, гол./п.п.</t>
        </is>
      </c>
      <c r="F9" s="1" t="inlineStr">
        <is>
          <t>Средний прогноз</t>
        </is>
      </c>
      <c r="G9" s="1" t="inlineStr">
        <is>
          <t>Средний факт</t>
        </is>
      </c>
      <c r="H9" s="1" t="inlineStr">
        <is>
          <t>Точек</t>
        </is>
      </c>
      <c r="I9" s="1" t="inlineStr">
        <is>
          <t>Первый месяц</t>
        </is>
      </c>
      <c r="J9" s="1" t="inlineStr">
        <is>
          <t>Последний месяц</t>
        </is>
      </c>
    </row>
    <row r="10">
      <c r="A10" t="inlineStr">
        <is>
          <t>ЖК ВЫСОКОЕ</t>
        </is>
      </c>
      <c r="B10" t="inlineStr">
        <is>
          <t>Бычки 0–2 мес</t>
        </is>
      </c>
      <c r="C10" t="n">
        <v>53.0214424951267</v>
      </c>
      <c r="D10" t="n">
        <v>-7.133333333333334</v>
      </c>
      <c r="E10" t="n">
        <v>9.066666666666666</v>
      </c>
      <c r="F10" t="n">
        <v>13.53333333333333</v>
      </c>
      <c r="G10" t="n">
        <v>20.66666666666667</v>
      </c>
      <c r="H10" t="n">
        <v>6</v>
      </c>
      <c r="I10" t="inlineStr">
        <is>
          <t>2025-08</t>
        </is>
      </c>
      <c r="J10" t="inlineStr">
        <is>
          <t>2026-01</t>
        </is>
      </c>
    </row>
    <row r="11">
      <c r="A11" t="inlineStr">
        <is>
          <t>ЖК ВЫСОКОЕ</t>
        </is>
      </c>
      <c r="B11" t="inlineStr">
        <is>
          <t>Дойные коровы</t>
        </is>
      </c>
      <c r="C11" t="n">
        <v>7.191823198950677</v>
      </c>
      <c r="D11" t="n">
        <v>-242.1666666666667</v>
      </c>
      <c r="E11" t="n">
        <v>242.1666666666667</v>
      </c>
      <c r="F11" t="n">
        <v>3246.166666666667</v>
      </c>
      <c r="G11" t="n">
        <v>3488.333333333333</v>
      </c>
      <c r="H11" t="n">
        <v>6</v>
      </c>
      <c r="I11" t="inlineStr">
        <is>
          <t>2025-08</t>
        </is>
      </c>
      <c r="J11" t="inlineStr">
        <is>
          <t>2026-01</t>
        </is>
      </c>
    </row>
    <row r="12">
      <c r="A12" t="inlineStr">
        <is>
          <t>ЖК ВЫСОКОЕ</t>
        </is>
      </c>
      <c r="B12" t="inlineStr">
        <is>
          <t>Доля бычков среди рождений, %</t>
        </is>
      </c>
      <c r="C12" t="n">
        <v>20.98333333333333</v>
      </c>
      <c r="D12" t="n">
        <v>-7.75</v>
      </c>
      <c r="E12" t="n">
        <v>7.75</v>
      </c>
      <c r="F12" t="n">
        <v>24.8</v>
      </c>
      <c r="G12" t="n">
        <v>32.55</v>
      </c>
      <c r="H12" t="n">
        <v>6</v>
      </c>
      <c r="I12" t="inlineStr">
        <is>
          <t>2025-07</t>
        </is>
      </c>
      <c r="J12" t="inlineStr">
        <is>
          <t>2026-01</t>
        </is>
      </c>
    </row>
    <row r="13">
      <c r="A13" t="inlineStr">
        <is>
          <t>ЖК ВЫСОКОЕ</t>
        </is>
      </c>
      <c r="B13" t="inlineStr">
        <is>
          <t>Доля тёлочек среди рождений, %</t>
        </is>
      </c>
      <c r="C13" t="n">
        <v>12.65</v>
      </c>
      <c r="D13" t="n">
        <v>7.75</v>
      </c>
      <c r="E13" t="n">
        <v>7.75</v>
      </c>
      <c r="F13" t="n">
        <v>75.2</v>
      </c>
      <c r="G13" t="n">
        <v>67.45</v>
      </c>
      <c r="H13" t="n">
        <v>6</v>
      </c>
      <c r="I13" t="inlineStr">
        <is>
          <t>2025-07</t>
        </is>
      </c>
      <c r="J13" t="inlineStr">
        <is>
          <t>2026-01</t>
        </is>
      </c>
    </row>
    <row r="14">
      <c r="A14" t="inlineStr">
        <is>
          <t>ЖК ВЫСОКОЕ</t>
        </is>
      </c>
      <c r="B14" t="inlineStr">
        <is>
          <t>Нетели</t>
        </is>
      </c>
      <c r="C14" t="n">
        <v>47.09218993016377</v>
      </c>
      <c r="D14" t="n">
        <v>514.7333333333333</v>
      </c>
      <c r="E14" t="n">
        <v>514.7333333333333</v>
      </c>
      <c r="F14" t="n">
        <v>1350.4</v>
      </c>
      <c r="G14" t="n">
        <v>835.6666666666666</v>
      </c>
      <c r="H14" t="n">
        <v>6</v>
      </c>
      <c r="I14" t="inlineStr">
        <is>
          <t>2024-10</t>
        </is>
      </c>
      <c r="J14" t="inlineStr">
        <is>
          <t>2025-03</t>
        </is>
      </c>
    </row>
    <row r="15">
      <c r="A15" t="inlineStr">
        <is>
          <t>ЖК ВЫСОКОЕ</t>
        </is>
      </c>
      <c r="B15" t="inlineStr">
        <is>
          <t>Ожидаемые бычки</t>
        </is>
      </c>
      <c r="C15" t="n">
        <v>26.43181566411875</v>
      </c>
      <c r="D15" t="n">
        <v>-19.88333333333333</v>
      </c>
      <c r="E15" t="n">
        <v>19.88333333333333</v>
      </c>
      <c r="F15" t="n">
        <v>65.28333333333333</v>
      </c>
      <c r="G15" t="n">
        <v>85.16666666666667</v>
      </c>
      <c r="H15" t="n">
        <v>6</v>
      </c>
      <c r="I15" t="inlineStr">
        <is>
          <t>2025-07</t>
        </is>
      </c>
      <c r="J15" t="inlineStr">
        <is>
          <t>2026-01</t>
        </is>
      </c>
    </row>
    <row r="16">
      <c r="A16" t="inlineStr">
        <is>
          <t>ЖК ВЫСОКОЕ</t>
        </is>
      </c>
      <c r="B16" t="inlineStr">
        <is>
          <t>Ожидаемые тёлочки</t>
        </is>
      </c>
      <c r="C16" t="n">
        <v>10.47719668955802</v>
      </c>
      <c r="D16" t="n">
        <v>16.6</v>
      </c>
      <c r="E16" t="n">
        <v>19.83333333333333</v>
      </c>
      <c r="F16" t="n">
        <v>197.6</v>
      </c>
      <c r="G16" t="n">
        <v>181</v>
      </c>
      <c r="H16" t="n">
        <v>6</v>
      </c>
      <c r="I16" t="inlineStr">
        <is>
          <t>2025-07</t>
        </is>
      </c>
      <c r="J16" t="inlineStr">
        <is>
          <t>2026-01</t>
        </is>
      </c>
    </row>
    <row r="17">
      <c r="A17" t="inlineStr">
        <is>
          <t>ЖК ВЫСОКОЕ</t>
        </is>
      </c>
      <c r="B17" t="inlineStr">
        <is>
          <t>Ожидаемый отёл, всего</t>
        </is>
      </c>
      <c r="C17" t="n">
        <v>6.035863455076469</v>
      </c>
      <c r="D17" t="n">
        <v>-4.95</v>
      </c>
      <c r="E17" t="n">
        <v>16.01666666666667</v>
      </c>
      <c r="F17" t="n">
        <v>262.8833333333333</v>
      </c>
      <c r="G17" t="n">
        <v>267.8333333333333</v>
      </c>
      <c r="H17" t="n">
        <v>6</v>
      </c>
      <c r="I17" t="inlineStr">
        <is>
          <t>2025-07</t>
        </is>
      </c>
      <c r="J17" t="inlineStr">
        <is>
          <t>2026-01</t>
        </is>
      </c>
    </row>
    <row r="18">
      <c r="A18" t="inlineStr">
        <is>
          <t>ЖК ВЫСОКОЕ</t>
        </is>
      </c>
      <c r="B18" t="inlineStr">
        <is>
          <t>Ожидаемый отёл, из них коров</t>
        </is>
      </c>
      <c r="C18" t="n">
        <v>8.92169150071949</v>
      </c>
      <c r="D18" t="n">
        <v>-4.95</v>
      </c>
      <c r="E18" t="n">
        <v>16.01666666666667</v>
      </c>
      <c r="F18" t="n">
        <v>177.05</v>
      </c>
      <c r="G18" t="n">
        <v>182</v>
      </c>
      <c r="H18" t="n">
        <v>6</v>
      </c>
      <c r="I18" t="inlineStr">
        <is>
          <t>2025-07</t>
        </is>
      </c>
      <c r="J18" t="inlineStr">
        <is>
          <t>2026-01</t>
        </is>
      </c>
    </row>
    <row r="19">
      <c r="A19" t="inlineStr">
        <is>
          <t>ЖК ВЫСОКОЕ</t>
        </is>
      </c>
      <c r="B19" t="inlineStr">
        <is>
          <t>Ожидаемый отёл, из них нетелей</t>
        </is>
      </c>
      <c r="C19" t="n">
        <v>0</v>
      </c>
      <c r="D19" t="n">
        <v>0</v>
      </c>
      <c r="E19" t="n">
        <v>0</v>
      </c>
      <c r="F19" t="n">
        <v>85.83333333333333</v>
      </c>
      <c r="G19" t="n">
        <v>85.83333333333333</v>
      </c>
      <c r="H19" t="n">
        <v>6</v>
      </c>
      <c r="I19" t="inlineStr">
        <is>
          <t>2025-07</t>
        </is>
      </c>
      <c r="J19" t="inlineStr">
        <is>
          <t>2026-01</t>
        </is>
      </c>
    </row>
    <row r="20">
      <c r="A20" t="inlineStr">
        <is>
          <t>ЖК ВЫСОКОЕ</t>
        </is>
      </c>
      <c r="B20" t="inlineStr">
        <is>
          <t>Сухостойные коровы</t>
        </is>
      </c>
      <c r="C20" t="n">
        <v>9.31386056764949</v>
      </c>
      <c r="D20" t="n">
        <v>7.166666666666667</v>
      </c>
      <c r="E20" t="n">
        <v>28.16666666666667</v>
      </c>
      <c r="F20" t="n">
        <v>306</v>
      </c>
      <c r="G20" t="n">
        <v>298.8333333333333</v>
      </c>
      <c r="H20" t="n">
        <v>6</v>
      </c>
      <c r="I20" t="inlineStr">
        <is>
          <t>2025-08</t>
        </is>
      </c>
      <c r="J20" t="inlineStr">
        <is>
          <t>2026-01</t>
        </is>
      </c>
    </row>
    <row r="21">
      <c r="A21" t="inlineStr">
        <is>
          <t>ЖК ВЫСОКОЕ</t>
        </is>
      </c>
      <c r="B21" t="inlineStr">
        <is>
          <t>Тёлки 0–3 мес</t>
        </is>
      </c>
      <c r="C21" t="n">
        <v>18.32952681678138</v>
      </c>
      <c r="D21" t="n">
        <v>99.65000000000002</v>
      </c>
      <c r="E21" t="n">
        <v>99.65000000000002</v>
      </c>
      <c r="F21" t="n">
        <v>593.4833333333333</v>
      </c>
      <c r="G21" t="n">
        <v>493.8333333333333</v>
      </c>
      <c r="H21" t="n">
        <v>6</v>
      </c>
      <c r="I21" t="inlineStr">
        <is>
          <t>2025-08</t>
        </is>
      </c>
      <c r="J21" t="inlineStr">
        <is>
          <t>2026-01</t>
        </is>
      </c>
    </row>
    <row r="22">
      <c r="A22" t="inlineStr">
        <is>
          <t>ЖК ВЫСОКОЕ</t>
        </is>
      </c>
      <c r="B22" t="inlineStr">
        <is>
          <t>Тёлки 3–8 мес</t>
        </is>
      </c>
      <c r="C22" t="n">
        <v>7.526125021755087</v>
      </c>
      <c r="D22" t="n">
        <v>82.88333333333334</v>
      </c>
      <c r="E22" t="n">
        <v>82.88333333333334</v>
      </c>
      <c r="F22" t="n">
        <v>1142.716666666667</v>
      </c>
      <c r="G22" t="n">
        <v>1059.833333333333</v>
      </c>
      <c r="H22" t="n">
        <v>6</v>
      </c>
      <c r="I22" t="inlineStr">
        <is>
          <t>2025-08</t>
        </is>
      </c>
      <c r="J22" t="inlineStr">
        <is>
          <t>2026-01</t>
        </is>
      </c>
    </row>
    <row r="23">
      <c r="A23" t="inlineStr">
        <is>
          <t>ЖК ВЫСОКОЕ</t>
        </is>
      </c>
      <c r="B23" t="inlineStr">
        <is>
          <t>Тёлки ≥9 мес</t>
        </is>
      </c>
      <c r="C23" t="n">
        <v>24.33421391458713</v>
      </c>
      <c r="D23" t="n">
        <v>-578.0166666666667</v>
      </c>
      <c r="E23" t="n">
        <v>578.0166666666667</v>
      </c>
      <c r="F23" t="n">
        <v>2086.316666666666</v>
      </c>
      <c r="G23" t="n">
        <v>2664.333333333333</v>
      </c>
      <c r="H23" t="n">
        <v>6</v>
      </c>
      <c r="I23" t="inlineStr">
        <is>
          <t>2025-08</t>
        </is>
      </c>
      <c r="J23" t="inlineStr">
        <is>
          <t>2026-01</t>
        </is>
      </c>
    </row>
    <row r="24">
      <c r="A24" t="inlineStr">
        <is>
          <t>ЖК ДОБРИНО</t>
        </is>
      </c>
      <c r="B24" t="inlineStr">
        <is>
          <t>Бычки 0–2 мес</t>
        </is>
      </c>
      <c r="C24" t="n">
        <v>36.17208077260755</v>
      </c>
      <c r="D24" t="n">
        <v>0.6333333333333334</v>
      </c>
      <c r="E24" t="n">
        <v>6.866666666666667</v>
      </c>
      <c r="F24" t="n">
        <v>19.3</v>
      </c>
      <c r="G24" t="n">
        <v>18.66666666666667</v>
      </c>
      <c r="H24" t="n">
        <v>6</v>
      </c>
      <c r="I24" t="inlineStr">
        <is>
          <t>2025-08</t>
        </is>
      </c>
      <c r="J24" t="inlineStr">
        <is>
          <t>2026-01</t>
        </is>
      </c>
    </row>
    <row r="25">
      <c r="A25" t="inlineStr">
        <is>
          <t>ЖК ДОБРИНО</t>
        </is>
      </c>
      <c r="B25" t="inlineStr">
        <is>
          <t>Дойные коровы</t>
        </is>
      </c>
      <c r="C25" t="n">
        <v>7.151013097503638</v>
      </c>
      <c r="D25" t="n">
        <v>6.833333333333333</v>
      </c>
      <c r="E25" t="n">
        <v>266.1666666666667</v>
      </c>
      <c r="F25" t="n">
        <v>3725.5</v>
      </c>
      <c r="G25" t="n">
        <v>3718.666666666667</v>
      </c>
      <c r="H25" t="n">
        <v>6</v>
      </c>
      <c r="I25" t="inlineStr">
        <is>
          <t>2025-08</t>
        </is>
      </c>
      <c r="J25" t="inlineStr">
        <is>
          <t>2026-01</t>
        </is>
      </c>
    </row>
    <row r="26">
      <c r="A26" t="inlineStr">
        <is>
          <t>ЖК ДОБРИНО</t>
        </is>
      </c>
      <c r="B26" t="inlineStr">
        <is>
          <t>Доля бычков среди рождений, %</t>
        </is>
      </c>
      <c r="C26" t="n">
        <v>25.58333333333333</v>
      </c>
      <c r="D26" t="n">
        <v>-6.683333333333334</v>
      </c>
      <c r="E26" t="n">
        <v>9.016666666666667</v>
      </c>
      <c r="F26" t="n">
        <v>24.8</v>
      </c>
      <c r="G26" t="n">
        <v>31.51666666666667</v>
      </c>
      <c r="H26" t="n">
        <v>6</v>
      </c>
      <c r="I26" t="inlineStr">
        <is>
          <t>2025-08</t>
        </is>
      </c>
      <c r="J26" t="inlineStr">
        <is>
          <t>2026-01</t>
        </is>
      </c>
    </row>
    <row r="27">
      <c r="A27" t="inlineStr">
        <is>
          <t>ЖК ДОБРИНО</t>
        </is>
      </c>
      <c r="B27" t="inlineStr">
        <is>
          <t>Доля тёлочек среди рождений, %</t>
        </is>
      </c>
      <c r="C27" t="n">
        <v>15.78333333333333</v>
      </c>
      <c r="D27" t="n">
        <v>6.683333333333334</v>
      </c>
      <c r="E27" t="n">
        <v>9.016666666666667</v>
      </c>
      <c r="F27" t="n">
        <v>75.2</v>
      </c>
      <c r="G27" t="n">
        <v>68.48333333333333</v>
      </c>
      <c r="H27" t="n">
        <v>6</v>
      </c>
      <c r="I27" t="inlineStr">
        <is>
          <t>2025-08</t>
        </is>
      </c>
      <c r="J27" t="inlineStr">
        <is>
          <t>2026-01</t>
        </is>
      </c>
    </row>
    <row r="28">
      <c r="A28" t="inlineStr">
        <is>
          <t>ЖК ДОБРИНО</t>
        </is>
      </c>
      <c r="B28" t="inlineStr">
        <is>
          <t>Нетели</t>
        </is>
      </c>
      <c r="C28" t="n">
        <v>9.155046941836567</v>
      </c>
      <c r="D28" t="n">
        <v>-164.8</v>
      </c>
      <c r="E28" t="n">
        <v>164.8</v>
      </c>
      <c r="F28" t="n">
        <v>1717.7</v>
      </c>
      <c r="G28" t="n">
        <v>1882.5</v>
      </c>
      <c r="H28" t="n">
        <v>6</v>
      </c>
      <c r="I28" t="inlineStr">
        <is>
          <t>2025-08</t>
        </is>
      </c>
      <c r="J28" t="inlineStr">
        <is>
          <t>2026-01</t>
        </is>
      </c>
    </row>
    <row r="29">
      <c r="A29" t="inlineStr">
        <is>
          <t>ЖК ДОБРИНО</t>
        </is>
      </c>
      <c r="B29" t="inlineStr">
        <is>
          <t>Ожидаемые бычки</t>
        </is>
      </c>
      <c r="C29" t="n">
        <v>13.88056260087618</v>
      </c>
      <c r="D29" t="n">
        <v>-2.149999999999999</v>
      </c>
      <c r="E29" t="n">
        <v>15.05</v>
      </c>
      <c r="F29" t="n">
        <v>107.35</v>
      </c>
      <c r="G29" t="n">
        <v>109.5</v>
      </c>
      <c r="H29" t="n">
        <v>6</v>
      </c>
      <c r="I29" t="inlineStr">
        <is>
          <t>2025-08</t>
        </is>
      </c>
      <c r="J29" t="inlineStr">
        <is>
          <t>2026-01</t>
        </is>
      </c>
    </row>
    <row r="30">
      <c r="A30" t="inlineStr">
        <is>
          <t>ЖК ДОБРИНО</t>
        </is>
      </c>
      <c r="B30" t="inlineStr">
        <is>
          <t>Ожидаемые тёлочки</t>
        </is>
      </c>
      <c r="C30" t="n">
        <v>31.39034736436177</v>
      </c>
      <c r="D30" t="n">
        <v>88.18333333333332</v>
      </c>
      <c r="E30" t="n">
        <v>88.18333333333332</v>
      </c>
      <c r="F30" t="n">
        <v>325.0166666666667</v>
      </c>
      <c r="G30" t="n">
        <v>236.8333333333333</v>
      </c>
      <c r="H30" t="n">
        <v>6</v>
      </c>
      <c r="I30" t="inlineStr">
        <is>
          <t>2025-08</t>
        </is>
      </c>
      <c r="J30" t="inlineStr">
        <is>
          <t>2026-01</t>
        </is>
      </c>
    </row>
    <row r="31">
      <c r="A31" t="inlineStr">
        <is>
          <t>ЖК ДОБРИНО</t>
        </is>
      </c>
      <c r="B31" t="inlineStr">
        <is>
          <t>Ожидаемый отёл, всего</t>
        </is>
      </c>
      <c r="C31" t="n">
        <v>22.00162594668606</v>
      </c>
      <c r="D31" t="n">
        <v>85.69999999999999</v>
      </c>
      <c r="E31" t="n">
        <v>85.69999999999999</v>
      </c>
      <c r="F31" t="n">
        <v>432.3666666666666</v>
      </c>
      <c r="G31" t="n">
        <v>346.6666666666667</v>
      </c>
      <c r="H31" t="n">
        <v>6</v>
      </c>
      <c r="I31" t="inlineStr">
        <is>
          <t>2025-08</t>
        </is>
      </c>
      <c r="J31" t="inlineStr">
        <is>
          <t>2026-01</t>
        </is>
      </c>
    </row>
    <row r="32">
      <c r="A32" t="inlineStr">
        <is>
          <t>ЖК ДОБРИНО</t>
        </is>
      </c>
      <c r="B32" t="inlineStr">
        <is>
          <t>Ожидаемый отёл, из них коров</t>
        </is>
      </c>
      <c r="C32" t="n">
        <v>5.770162533585869</v>
      </c>
      <c r="D32" t="n">
        <v>1.716666666666667</v>
      </c>
      <c r="E32" t="n">
        <v>10.91666666666667</v>
      </c>
      <c r="F32" t="n">
        <v>190.05</v>
      </c>
      <c r="G32" t="n">
        <v>188.3333333333333</v>
      </c>
      <c r="H32" t="n">
        <v>6</v>
      </c>
      <c r="I32" t="inlineStr">
        <is>
          <t>2025-08</t>
        </is>
      </c>
      <c r="J32" t="inlineStr">
        <is>
          <t>2026-01</t>
        </is>
      </c>
    </row>
    <row r="33">
      <c r="A33" t="inlineStr">
        <is>
          <t>ЖК ДОБРИНО</t>
        </is>
      </c>
      <c r="B33" t="inlineStr">
        <is>
          <t>Ожидаемый отёл, из них нетелей</t>
        </is>
      </c>
      <c r="C33" t="n">
        <v>41.91696480572427</v>
      </c>
      <c r="D33" t="n">
        <v>83.96666666666667</v>
      </c>
      <c r="E33" t="n">
        <v>83.96666666666667</v>
      </c>
      <c r="F33" t="n">
        <v>242.3</v>
      </c>
      <c r="G33" t="n">
        <v>158.3333333333333</v>
      </c>
      <c r="H33" t="n">
        <v>6</v>
      </c>
      <c r="I33" t="inlineStr">
        <is>
          <t>2025-08</t>
        </is>
      </c>
      <c r="J33" t="inlineStr">
        <is>
          <t>2026-01</t>
        </is>
      </c>
    </row>
    <row r="34">
      <c r="A34" t="inlineStr">
        <is>
          <t>ЖК ДОБРИНО</t>
        </is>
      </c>
      <c r="B34" t="inlineStr">
        <is>
          <t>Сухостойные коровы</t>
        </is>
      </c>
      <c r="C34" t="n">
        <v>6.150691952844695</v>
      </c>
      <c r="D34" t="n">
        <v>11</v>
      </c>
      <c r="E34" t="n">
        <v>20</v>
      </c>
      <c r="F34" t="n">
        <v>330.6666666666667</v>
      </c>
      <c r="G34" t="n">
        <v>319.6666666666667</v>
      </c>
      <c r="H34" t="n">
        <v>6</v>
      </c>
      <c r="I34" t="inlineStr">
        <is>
          <t>2025-08</t>
        </is>
      </c>
      <c r="J34" t="inlineStr">
        <is>
          <t>2026-01</t>
        </is>
      </c>
    </row>
    <row r="35">
      <c r="A35" t="inlineStr">
        <is>
          <t>ЖК ДОБРИНО</t>
        </is>
      </c>
      <c r="B35" t="inlineStr">
        <is>
          <t>Тёлки 0–3 мес</t>
        </is>
      </c>
      <c r="C35" t="n">
        <v>34.75451512102114</v>
      </c>
      <c r="D35" t="n">
        <v>273.4166666666667</v>
      </c>
      <c r="E35" t="n">
        <v>273.4166666666667</v>
      </c>
      <c r="F35" t="n">
        <v>923.4166666666666</v>
      </c>
      <c r="G35" t="n">
        <v>650</v>
      </c>
      <c r="H35" t="n">
        <v>6</v>
      </c>
      <c r="I35" t="inlineStr">
        <is>
          <t>2025-08</t>
        </is>
      </c>
      <c r="J35" t="inlineStr">
        <is>
          <t>2026-01</t>
        </is>
      </c>
    </row>
    <row r="36">
      <c r="A36" t="inlineStr">
        <is>
          <t>ЖК ДОБРИНО</t>
        </is>
      </c>
      <c r="B36" t="inlineStr">
        <is>
          <t>Тёлки 3–8 мес</t>
        </is>
      </c>
      <c r="C36" t="n">
        <v>11.62421148938219</v>
      </c>
      <c r="D36" t="n">
        <v>140.8166666666667</v>
      </c>
      <c r="E36" t="n">
        <v>140.8166666666667</v>
      </c>
      <c r="F36" t="n">
        <v>1281.816666666667</v>
      </c>
      <c r="G36" t="n">
        <v>1141</v>
      </c>
      <c r="H36" t="n">
        <v>6</v>
      </c>
      <c r="I36" t="inlineStr">
        <is>
          <t>2025-08</t>
        </is>
      </c>
      <c r="J36" t="inlineStr">
        <is>
          <t>2026-01</t>
        </is>
      </c>
    </row>
    <row r="37">
      <c r="A37" t="inlineStr">
        <is>
          <t>ЖК ДОБРИНО</t>
        </is>
      </c>
      <c r="B37" t="inlineStr">
        <is>
          <t>Тёлки ≥9 мес</t>
        </is>
      </c>
      <c r="C37" t="n">
        <v>11.80723934880499</v>
      </c>
      <c r="D37" t="n">
        <v>181.8</v>
      </c>
      <c r="E37" t="n">
        <v>181.8</v>
      </c>
      <c r="F37" t="n">
        <v>1630.633333333333</v>
      </c>
      <c r="G37" t="n">
        <v>1448.833333333333</v>
      </c>
      <c r="H37" t="n">
        <v>6</v>
      </c>
      <c r="I37" t="inlineStr">
        <is>
          <t>2025-08</t>
        </is>
      </c>
      <c r="J37" t="inlineStr">
        <is>
          <t>2026-01</t>
        </is>
      </c>
    </row>
    <row r="38">
      <c r="A38" t="inlineStr">
        <is>
          <t>МТФ ЭНАЛБ</t>
        </is>
      </c>
      <c r="B38" t="inlineStr">
        <is>
          <t>Бычки 0–2 мес</t>
        </is>
      </c>
      <c r="C38" t="n">
        <v>193.6442849820605</v>
      </c>
      <c r="D38" t="n">
        <v>-31.48333333333333</v>
      </c>
      <c r="E38" t="n">
        <v>31.48333333333333</v>
      </c>
      <c r="F38" t="n">
        <v>0.5166666666666667</v>
      </c>
      <c r="G38" t="n">
        <v>32</v>
      </c>
      <c r="H38" t="n">
        <v>6</v>
      </c>
      <c r="I38" t="inlineStr">
        <is>
          <t>2025-08</t>
        </is>
      </c>
      <c r="J38" t="inlineStr">
        <is>
          <t>2026-01</t>
        </is>
      </c>
    </row>
    <row r="39">
      <c r="A39" t="inlineStr">
        <is>
          <t>МТФ ЭНАЛБ</t>
        </is>
      </c>
      <c r="B39" t="inlineStr">
        <is>
          <t>Дойные коровы</t>
        </is>
      </c>
      <c r="C39" t="n">
        <v>12.03530355710083</v>
      </c>
      <c r="D39" t="n">
        <v>75</v>
      </c>
      <c r="E39" t="n">
        <v>75</v>
      </c>
      <c r="F39" t="n">
        <v>660.6666666666666</v>
      </c>
      <c r="G39" t="n">
        <v>585.6666666666666</v>
      </c>
      <c r="H39" t="n">
        <v>6</v>
      </c>
      <c r="I39" t="inlineStr">
        <is>
          <t>2025-08</t>
        </is>
      </c>
      <c r="J39" t="inlineStr">
        <is>
          <t>2026-01</t>
        </is>
      </c>
    </row>
    <row r="40">
      <c r="A40" t="inlineStr">
        <is>
          <t>МТФ ЭНАЛБ</t>
        </is>
      </c>
      <c r="B40" t="inlineStr">
        <is>
          <t>Доля бычков среди рождений, %</t>
        </is>
      </c>
      <c r="C40" t="n">
        <v>46.58333333333334</v>
      </c>
      <c r="D40" t="n">
        <v>-21.83333333333333</v>
      </c>
      <c r="E40" t="n">
        <v>21.83333333333333</v>
      </c>
      <c r="F40" t="n">
        <v>24.86666666666666</v>
      </c>
      <c r="G40" t="n">
        <v>46.68333333333334</v>
      </c>
      <c r="H40" t="n">
        <v>6</v>
      </c>
      <c r="I40" t="inlineStr">
        <is>
          <t>2025-01</t>
        </is>
      </c>
      <c r="J40" t="inlineStr">
        <is>
          <t>2025-12</t>
        </is>
      </c>
    </row>
    <row r="41">
      <c r="A41" t="inlineStr">
        <is>
          <t>МТФ ЭНАЛБ</t>
        </is>
      </c>
      <c r="B41" t="inlineStr">
        <is>
          <t>Доля тёлочек среди рождений, %</t>
        </is>
      </c>
      <c r="C41" t="n">
        <v>41.18333333333334</v>
      </c>
      <c r="D41" t="n">
        <v>21.83333333333333</v>
      </c>
      <c r="E41" t="n">
        <v>21.83333333333333</v>
      </c>
      <c r="F41" t="n">
        <v>75.13333333333333</v>
      </c>
      <c r="G41" t="n">
        <v>53.31666666666666</v>
      </c>
      <c r="H41" t="n">
        <v>6</v>
      </c>
      <c r="I41" t="inlineStr">
        <is>
          <t>2025-01</t>
        </is>
      </c>
      <c r="J41" t="inlineStr">
        <is>
          <t>2025-12</t>
        </is>
      </c>
    </row>
    <row r="42">
      <c r="A42" t="inlineStr">
        <is>
          <t>МТФ ЭНАЛБ</t>
        </is>
      </c>
      <c r="B42" t="inlineStr">
        <is>
          <t>Нетели</t>
        </is>
      </c>
      <c r="C42" t="n">
        <v>80.43812058552565</v>
      </c>
      <c r="D42" t="n">
        <v>196.45</v>
      </c>
      <c r="E42" t="n">
        <v>196.45</v>
      </c>
      <c r="F42" t="n">
        <v>342.45</v>
      </c>
      <c r="G42" t="n">
        <v>146</v>
      </c>
      <c r="H42" t="n">
        <v>6</v>
      </c>
      <c r="I42" t="inlineStr">
        <is>
          <t>2024-10</t>
        </is>
      </c>
      <c r="J42" t="inlineStr">
        <is>
          <t>2025-03</t>
        </is>
      </c>
    </row>
    <row r="43">
      <c r="A43" t="inlineStr">
        <is>
          <t>МТФ ЭНАЛБ</t>
        </is>
      </c>
      <c r="B43" t="inlineStr">
        <is>
          <t>Ожидаемые бычки</t>
        </is>
      </c>
      <c r="C43" t="n">
        <v>61.64874551971327</v>
      </c>
      <c r="D43" t="n">
        <v>-11.46666666666667</v>
      </c>
      <c r="E43" t="n">
        <v>11.46666666666667</v>
      </c>
      <c r="F43" t="n">
        <v>12.86666666666667</v>
      </c>
      <c r="G43" t="n">
        <v>24.33333333333333</v>
      </c>
      <c r="H43" t="n">
        <v>6</v>
      </c>
      <c r="I43" t="inlineStr">
        <is>
          <t>2025-01</t>
        </is>
      </c>
      <c r="J43" t="inlineStr">
        <is>
          <t>2025-12</t>
        </is>
      </c>
    </row>
    <row r="44">
      <c r="A44" t="inlineStr">
        <is>
          <t>МТФ ЭНАЛБ</t>
        </is>
      </c>
      <c r="B44" t="inlineStr">
        <is>
          <t>Ожидаемые тёлочки</t>
        </is>
      </c>
      <c r="C44" t="n">
        <v>33.79224030037547</v>
      </c>
      <c r="D44" t="n">
        <v>11.25</v>
      </c>
      <c r="E44" t="n">
        <v>11.25</v>
      </c>
      <c r="F44" t="n">
        <v>38.91666666666666</v>
      </c>
      <c r="G44" t="n">
        <v>27.66666666666667</v>
      </c>
      <c r="H44" t="n">
        <v>6</v>
      </c>
      <c r="I44" t="inlineStr">
        <is>
          <t>2025-01</t>
        </is>
      </c>
      <c r="J44" t="inlineStr">
        <is>
          <t>2025-12</t>
        </is>
      </c>
    </row>
    <row r="45">
      <c r="A45" t="inlineStr">
        <is>
          <t>МТФ ЭНАЛБ</t>
        </is>
      </c>
      <c r="B45" t="inlineStr">
        <is>
          <t>Ожидаемый отёл, всего</t>
        </is>
      </c>
      <c r="C45" t="n">
        <v>12.05050343615151</v>
      </c>
      <c r="D45" t="n">
        <v>-0.7166666666666665</v>
      </c>
      <c r="E45" t="n">
        <v>6.283333333333334</v>
      </c>
      <c r="F45" t="n">
        <v>51.78333333333334</v>
      </c>
      <c r="G45" t="n">
        <v>52.5</v>
      </c>
      <c r="H45" t="n">
        <v>6</v>
      </c>
      <c r="I45" t="inlineStr">
        <is>
          <t>2025-01</t>
        </is>
      </c>
      <c r="J45" t="inlineStr">
        <is>
          <t>2025-12</t>
        </is>
      </c>
    </row>
    <row r="46">
      <c r="A46" t="inlineStr">
        <is>
          <t>МТФ ЭНАЛБ</t>
        </is>
      </c>
      <c r="B46" t="inlineStr">
        <is>
          <t>Ожидаемый отёл, из них коров</t>
        </is>
      </c>
      <c r="C46" t="n">
        <v>17.62917933130699</v>
      </c>
      <c r="D46" t="n">
        <v>-0.7166666666666665</v>
      </c>
      <c r="E46" t="n">
        <v>6.283333333333334</v>
      </c>
      <c r="F46" t="n">
        <v>35.28333333333334</v>
      </c>
      <c r="G46" t="n">
        <v>36</v>
      </c>
      <c r="H46" t="n">
        <v>6</v>
      </c>
      <c r="I46" t="inlineStr">
        <is>
          <t>2025-01</t>
        </is>
      </c>
      <c r="J46" t="inlineStr">
        <is>
          <t>2025-12</t>
        </is>
      </c>
    </row>
    <row r="47">
      <c r="A47" t="inlineStr">
        <is>
          <t>МТФ ЭНАЛБ</t>
        </is>
      </c>
      <c r="B47" t="inlineStr">
        <is>
          <t>Ожидаемый отёл, из них нетелей</t>
        </is>
      </c>
      <c r="C47" t="n">
        <v>0</v>
      </c>
      <c r="D47" t="n">
        <v>0</v>
      </c>
      <c r="E47" t="n">
        <v>0</v>
      </c>
      <c r="F47" t="n">
        <v>16.5</v>
      </c>
      <c r="G47" t="n">
        <v>16.5</v>
      </c>
      <c r="H47" t="n">
        <v>6</v>
      </c>
      <c r="I47" t="inlineStr">
        <is>
          <t>2025-01</t>
        </is>
      </c>
      <c r="J47" t="inlineStr">
        <is>
          <t>2025-12</t>
        </is>
      </c>
    </row>
    <row r="48">
      <c r="A48" t="inlineStr">
        <is>
          <t>МТФ ЭНАЛБ</t>
        </is>
      </c>
      <c r="B48" t="inlineStr">
        <is>
          <t>Сухостойные коровы</t>
        </is>
      </c>
      <c r="C48" t="n">
        <v>12.57861635220126</v>
      </c>
      <c r="D48" t="n">
        <v>6.666666666666667</v>
      </c>
      <c r="E48" t="n">
        <v>6.666666666666667</v>
      </c>
      <c r="F48" t="n">
        <v>56.33333333333334</v>
      </c>
      <c r="G48" t="n">
        <v>49.66666666666666</v>
      </c>
      <c r="H48" t="n">
        <v>6</v>
      </c>
      <c r="I48" t="inlineStr">
        <is>
          <t>2025-08</t>
        </is>
      </c>
      <c r="J48" t="inlineStr">
        <is>
          <t>2026-01</t>
        </is>
      </c>
    </row>
    <row r="49">
      <c r="A49" t="inlineStr">
        <is>
          <t>МТФ ЭНАЛБ</t>
        </is>
      </c>
      <c r="B49" t="inlineStr">
        <is>
          <t>Тёлки 0–3 мес</t>
        </is>
      </c>
      <c r="C49" t="n">
        <v>79.81288233177403</v>
      </c>
      <c r="D49" t="n">
        <v>73.93333333333335</v>
      </c>
      <c r="E49" t="n">
        <v>73.93333333333335</v>
      </c>
      <c r="F49" t="n">
        <v>129.6</v>
      </c>
      <c r="G49" t="n">
        <v>55.66666666666666</v>
      </c>
      <c r="H49" t="n">
        <v>6</v>
      </c>
      <c r="I49" t="inlineStr">
        <is>
          <t>2025-08</t>
        </is>
      </c>
      <c r="J49" t="inlineStr">
        <is>
          <t>2026-01</t>
        </is>
      </c>
    </row>
    <row r="50">
      <c r="A50" t="inlineStr">
        <is>
          <t>МТФ ЭНАЛБ</t>
        </is>
      </c>
      <c r="B50" t="inlineStr">
        <is>
          <t>Тёлки 3–8 мес</t>
        </is>
      </c>
      <c r="C50" t="n">
        <v>27.45533648060724</v>
      </c>
      <c r="D50" t="n">
        <v>24.71666666666667</v>
      </c>
      <c r="E50" t="n">
        <v>24.71666666666667</v>
      </c>
      <c r="F50" t="n">
        <v>102.3833333333333</v>
      </c>
      <c r="G50" t="n">
        <v>77.66666666666667</v>
      </c>
      <c r="H50" t="n">
        <v>6</v>
      </c>
      <c r="I50" t="inlineStr">
        <is>
          <t>2025-08</t>
        </is>
      </c>
      <c r="J50" t="inlineStr">
        <is>
          <t>2026-01</t>
        </is>
      </c>
    </row>
    <row r="51">
      <c r="A51" t="inlineStr">
        <is>
          <t>МТФ ЭНАЛБ</t>
        </is>
      </c>
      <c r="B51" t="inlineStr">
        <is>
          <t>Тёлки ≥9 мес</t>
        </is>
      </c>
      <c r="C51" t="n">
        <v>30.16881466690869</v>
      </c>
      <c r="D51" t="n">
        <v>-152.35</v>
      </c>
      <c r="E51" t="n">
        <v>152.35</v>
      </c>
      <c r="F51" t="n">
        <v>428.8166666666667</v>
      </c>
      <c r="G51" t="n">
        <v>581.1666666666666</v>
      </c>
      <c r="H51" t="n">
        <v>6</v>
      </c>
      <c r="I51" t="inlineStr">
        <is>
          <t>2025-08</t>
        </is>
      </c>
      <c r="J51" t="inlineStr">
        <is>
          <t>2026-01</t>
        </is>
      </c>
    </row>
    <row r="52">
      <c r="A52" t="inlineStr">
        <is>
          <t>РЖК ДОБРИНО</t>
        </is>
      </c>
      <c r="B52" t="inlineStr">
        <is>
          <t>Бычки 0–2 мес</t>
        </is>
      </c>
      <c r="C52" t="n">
        <v>197.3941368078175</v>
      </c>
      <c r="D52" t="n">
        <v>-40.4</v>
      </c>
      <c r="E52" t="n">
        <v>40.4</v>
      </c>
      <c r="F52" t="n">
        <v>0.2666666666666667</v>
      </c>
      <c r="G52" t="n">
        <v>40.66666666666666</v>
      </c>
      <c r="H52" t="n">
        <v>6</v>
      </c>
      <c r="I52" t="inlineStr">
        <is>
          <t>2025-08</t>
        </is>
      </c>
      <c r="J52" t="inlineStr">
        <is>
          <t>2026-01</t>
        </is>
      </c>
    </row>
    <row r="53">
      <c r="A53" t="inlineStr">
        <is>
          <t>РЖК ДОБРИНО</t>
        </is>
      </c>
      <c r="B53" t="inlineStr">
        <is>
          <t>Дойные коровы</t>
        </is>
      </c>
      <c r="C53" t="n">
        <v>16.70212765957447</v>
      </c>
      <c r="D53" t="n">
        <v>-104.6666666666667</v>
      </c>
      <c r="E53" t="n">
        <v>104.6666666666667</v>
      </c>
      <c r="F53" t="n">
        <v>574.3333333333334</v>
      </c>
      <c r="G53" t="n">
        <v>679</v>
      </c>
      <c r="H53" t="n">
        <v>6</v>
      </c>
      <c r="I53" t="inlineStr">
        <is>
          <t>2025-08</t>
        </is>
      </c>
      <c r="J53" t="inlineStr">
        <is>
          <t>2026-01</t>
        </is>
      </c>
    </row>
    <row r="54">
      <c r="A54" t="inlineStr">
        <is>
          <t>РЖК ДОБРИНО</t>
        </is>
      </c>
      <c r="B54" t="inlineStr">
        <is>
          <t>Доля бычков среди рождений, %</t>
        </is>
      </c>
      <c r="C54" t="n">
        <v>31.78333333333333</v>
      </c>
      <c r="D54" t="n">
        <v>-11.25</v>
      </c>
      <c r="E54" t="n">
        <v>13.01666666666667</v>
      </c>
      <c r="F54" t="n">
        <v>24.81666666666667</v>
      </c>
      <c r="G54" t="n">
        <v>36.06666666666666</v>
      </c>
      <c r="H54" t="n">
        <v>6</v>
      </c>
      <c r="I54" t="inlineStr">
        <is>
          <t>2024-12</t>
        </is>
      </c>
      <c r="J54" t="inlineStr">
        <is>
          <t>2025-12</t>
        </is>
      </c>
    </row>
    <row r="55">
      <c r="A55" t="inlineStr">
        <is>
          <t>РЖК ДОБРИНО</t>
        </is>
      </c>
      <c r="B55" t="inlineStr">
        <is>
          <t>Доля тёлочек среди рождений, %</t>
        </is>
      </c>
      <c r="C55" t="n">
        <v>23.31666666666666</v>
      </c>
      <c r="D55" t="n">
        <v>11.25</v>
      </c>
      <c r="E55" t="n">
        <v>13.01666666666667</v>
      </c>
      <c r="F55" t="n">
        <v>75.18333333333332</v>
      </c>
      <c r="G55" t="n">
        <v>63.93333333333334</v>
      </c>
      <c r="H55" t="n">
        <v>6</v>
      </c>
      <c r="I55" t="inlineStr">
        <is>
          <t>2024-12</t>
        </is>
      </c>
      <c r="J55" t="inlineStr">
        <is>
          <t>2025-12</t>
        </is>
      </c>
    </row>
    <row r="56">
      <c r="A56" t="inlineStr">
        <is>
          <t>РЖК ДОБРИНО</t>
        </is>
      </c>
      <c r="B56" t="inlineStr">
        <is>
          <t>Нетели</t>
        </is>
      </c>
      <c r="C56" t="n">
        <v>60.8695652173913</v>
      </c>
      <c r="D56" t="n">
        <v>108.5</v>
      </c>
      <c r="E56" t="n">
        <v>108.5</v>
      </c>
      <c r="F56" t="n">
        <v>232.5</v>
      </c>
      <c r="G56" t="n">
        <v>124</v>
      </c>
      <c r="H56" t="n">
        <v>6</v>
      </c>
      <c r="I56" t="inlineStr">
        <is>
          <t>2024-10</t>
        </is>
      </c>
      <c r="J56" t="inlineStr">
        <is>
          <t>2025-03</t>
        </is>
      </c>
    </row>
    <row r="57">
      <c r="A57" t="inlineStr">
        <is>
          <t>РЖК ДОБРИНО</t>
        </is>
      </c>
      <c r="B57" t="inlineStr">
        <is>
          <t>Ожидаемые бычки</t>
        </is>
      </c>
      <c r="C57" t="n">
        <v>39.32584269662922</v>
      </c>
      <c r="D57" t="n">
        <v>-5.466666666666666</v>
      </c>
      <c r="E57" t="n">
        <v>8.166666666666666</v>
      </c>
      <c r="F57" t="n">
        <v>18.03333333333333</v>
      </c>
      <c r="G57" t="n">
        <v>23.5</v>
      </c>
      <c r="H57" t="n">
        <v>6</v>
      </c>
      <c r="I57" t="inlineStr">
        <is>
          <t>2024-12</t>
        </is>
      </c>
      <c r="J57" t="inlineStr">
        <is>
          <t>2025-12</t>
        </is>
      </c>
    </row>
    <row r="58">
      <c r="A58" t="inlineStr">
        <is>
          <t>РЖК ДОБРИНО</t>
        </is>
      </c>
      <c r="B58" t="inlineStr">
        <is>
          <t>Ожидаемые тёлочки</t>
        </is>
      </c>
      <c r="C58" t="n">
        <v>25.36954279821245</v>
      </c>
      <c r="D58" t="n">
        <v>12.3</v>
      </c>
      <c r="E58" t="n">
        <v>12.3</v>
      </c>
      <c r="F58" t="n">
        <v>54.63333333333333</v>
      </c>
      <c r="G58" t="n">
        <v>42.33333333333334</v>
      </c>
      <c r="H58" t="n">
        <v>6</v>
      </c>
      <c r="I58" t="inlineStr">
        <is>
          <t>2024-12</t>
        </is>
      </c>
      <c r="J58" t="inlineStr">
        <is>
          <t>2025-12</t>
        </is>
      </c>
    </row>
    <row r="59">
      <c r="A59" t="inlineStr">
        <is>
          <t>РЖК ДОБРИНО</t>
        </is>
      </c>
      <c r="B59" t="inlineStr">
        <is>
          <t>Ожидаемый отёл, всего</t>
        </is>
      </c>
      <c r="C59" t="n">
        <v>7.943262411347517</v>
      </c>
      <c r="D59" t="n">
        <v>4.333333333333334</v>
      </c>
      <c r="E59" t="n">
        <v>5.599999999999999</v>
      </c>
      <c r="F59" t="n">
        <v>72.66666666666667</v>
      </c>
      <c r="G59" t="n">
        <v>68.33333333333333</v>
      </c>
      <c r="H59" t="n">
        <v>6</v>
      </c>
      <c r="I59" t="inlineStr">
        <is>
          <t>2024-12</t>
        </is>
      </c>
      <c r="J59" t="inlineStr">
        <is>
          <t>2025-12</t>
        </is>
      </c>
    </row>
    <row r="60">
      <c r="A60" t="inlineStr">
        <is>
          <t>РЖК ДОБРИНО</t>
        </is>
      </c>
      <c r="B60" t="inlineStr">
        <is>
          <t>Ожидаемый отёл, из них коров</t>
        </is>
      </c>
      <c r="C60" t="n">
        <v>13.82716049382716</v>
      </c>
      <c r="D60" t="n">
        <v>4.333333333333334</v>
      </c>
      <c r="E60" t="n">
        <v>5.599999999999999</v>
      </c>
      <c r="F60" t="n">
        <v>42.66666666666666</v>
      </c>
      <c r="G60" t="n">
        <v>38.33333333333334</v>
      </c>
      <c r="H60" t="n">
        <v>6</v>
      </c>
      <c r="I60" t="inlineStr">
        <is>
          <t>2024-12</t>
        </is>
      </c>
      <c r="J60" t="inlineStr">
        <is>
          <t>2025-12</t>
        </is>
      </c>
    </row>
    <row r="61">
      <c r="A61" t="inlineStr">
        <is>
          <t>РЖК ДОБРИНО</t>
        </is>
      </c>
      <c r="B61" t="inlineStr">
        <is>
          <t>Ожидаемый отёл, из них нетелей</t>
        </is>
      </c>
      <c r="C61" t="n">
        <v>0</v>
      </c>
      <c r="D61" t="n">
        <v>0</v>
      </c>
      <c r="E61" t="n">
        <v>0</v>
      </c>
      <c r="F61" t="n">
        <v>30</v>
      </c>
      <c r="G61" t="n">
        <v>30</v>
      </c>
      <c r="H61" t="n">
        <v>6</v>
      </c>
      <c r="I61" t="inlineStr">
        <is>
          <t>2024-12</t>
        </is>
      </c>
      <c r="J61" t="inlineStr">
        <is>
          <t>2025-12</t>
        </is>
      </c>
    </row>
    <row r="62">
      <c r="A62" t="inlineStr">
        <is>
          <t>РЖК ДОБРИНО</t>
        </is>
      </c>
      <c r="B62" t="inlineStr">
        <is>
          <t>Сухостойные коровы</t>
        </is>
      </c>
      <c r="C62" t="n">
        <v>7.092198581560283</v>
      </c>
      <c r="D62" t="n">
        <v>1.5</v>
      </c>
      <c r="E62" t="n">
        <v>4.166666666666667</v>
      </c>
      <c r="F62" t="n">
        <v>59.5</v>
      </c>
      <c r="G62" t="n">
        <v>58</v>
      </c>
      <c r="H62" t="n">
        <v>6</v>
      </c>
      <c r="I62" t="inlineStr">
        <is>
          <t>2025-08</t>
        </is>
      </c>
      <c r="J62" t="inlineStr">
        <is>
          <t>2026-01</t>
        </is>
      </c>
    </row>
    <row r="63">
      <c r="A63" t="inlineStr">
        <is>
          <t>РЖК ДОБРИНО</t>
        </is>
      </c>
      <c r="B63" t="inlineStr">
        <is>
          <t>Тёлки 0–3 мес</t>
        </is>
      </c>
      <c r="C63" t="n">
        <v>12.59387637203928</v>
      </c>
      <c r="D63" t="n">
        <v>18.16666666666667</v>
      </c>
      <c r="E63" t="n">
        <v>18.16666666666667</v>
      </c>
      <c r="F63" t="n">
        <v>153.3333333333333</v>
      </c>
      <c r="G63" t="n">
        <v>135.1666666666667</v>
      </c>
      <c r="H63" t="n">
        <v>6</v>
      </c>
      <c r="I63" t="inlineStr">
        <is>
          <t>2025-08</t>
        </is>
      </c>
      <c r="J63" t="inlineStr">
        <is>
          <t>2026-01</t>
        </is>
      </c>
    </row>
    <row r="64">
      <c r="A64" t="inlineStr">
        <is>
          <t>РЖК ДОБРИНО</t>
        </is>
      </c>
      <c r="B64" t="inlineStr">
        <is>
          <t>Тёлки 3–8 мес</t>
        </is>
      </c>
      <c r="C64" t="n">
        <v>3.562395738040144</v>
      </c>
      <c r="D64" t="n">
        <v>4.383333333333333</v>
      </c>
      <c r="E64" t="n">
        <v>5.516666666666667</v>
      </c>
      <c r="F64" t="n">
        <v>157.05</v>
      </c>
      <c r="G64" t="n">
        <v>152.6666666666667</v>
      </c>
      <c r="H64" t="n">
        <v>6</v>
      </c>
      <c r="I64" t="inlineStr">
        <is>
          <t>2025-08</t>
        </is>
      </c>
      <c r="J64" t="inlineStr">
        <is>
          <t>2026-01</t>
        </is>
      </c>
    </row>
    <row r="65">
      <c r="A65" t="inlineStr">
        <is>
          <t>РЖК ДОБРИНО</t>
        </is>
      </c>
      <c r="B65" t="inlineStr">
        <is>
          <t>Тёлки ≥9 мес</t>
        </is>
      </c>
      <c r="C65" t="n">
        <v>25.14646237043714</v>
      </c>
      <c r="D65" t="n">
        <v>-139.5</v>
      </c>
      <c r="E65" t="n">
        <v>139.5</v>
      </c>
      <c r="F65" t="n">
        <v>485</v>
      </c>
      <c r="G65" t="n">
        <v>624.5</v>
      </c>
      <c r="H65" t="n">
        <v>6</v>
      </c>
      <c r="I65" t="inlineStr">
        <is>
          <t>2025-08</t>
        </is>
      </c>
      <c r="J65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Срок до отёла по лактации</t>
        </is>
      </c>
    </row>
    <row r="2">
      <c r="A2" s="1" t="inlineStr">
        <is>
          <t>Группа лактации</t>
        </is>
      </c>
      <c r="B2" s="1" t="inlineStr">
        <is>
          <t>Количество случаев</t>
        </is>
      </c>
      <c r="C2" s="1" t="inlineStr">
        <is>
          <t>Средний срок до отёла, дней</t>
        </is>
      </c>
      <c r="D2" s="1" t="inlineStr">
        <is>
          <t>Медианный срок, дней</t>
        </is>
      </c>
      <c r="E2" s="1" t="inlineStr">
        <is>
          <t>Минимум, дней</t>
        </is>
      </c>
      <c r="F2" s="1" t="inlineStr">
        <is>
          <t>Максимум, дней</t>
        </is>
      </c>
    </row>
    <row r="3">
      <c r="A3" t="inlineStr">
        <is>
          <t>0</t>
        </is>
      </c>
      <c r="B3" t="n">
        <v>5491</v>
      </c>
      <c r="C3" t="n">
        <v>276.5740302312876</v>
      </c>
      <c r="D3" t="n">
        <v>277</v>
      </c>
      <c r="E3" t="n">
        <v>242</v>
      </c>
      <c r="F3" t="n">
        <v>316</v>
      </c>
    </row>
    <row r="4">
      <c r="A4" t="inlineStr">
        <is>
          <t>1</t>
        </is>
      </c>
      <c r="B4" t="n">
        <v>8231</v>
      </c>
      <c r="C4" t="n">
        <v>277.2314421090998</v>
      </c>
      <c r="D4" t="n">
        <v>277</v>
      </c>
      <c r="E4" t="n">
        <v>240</v>
      </c>
      <c r="F4" t="n">
        <v>716</v>
      </c>
    </row>
    <row r="5">
      <c r="A5" t="inlineStr">
        <is>
          <t>2</t>
        </is>
      </c>
      <c r="B5" t="n">
        <v>6274</v>
      </c>
      <c r="C5" t="n">
        <v>277.642333439592</v>
      </c>
      <c r="D5" t="n">
        <v>277</v>
      </c>
      <c r="E5" t="n">
        <v>244</v>
      </c>
      <c r="F5" t="n">
        <v>772</v>
      </c>
    </row>
    <row r="6">
      <c r="A6" t="inlineStr">
        <is>
          <t>3</t>
        </is>
      </c>
      <c r="B6" t="n">
        <v>4985</v>
      </c>
      <c r="C6" t="n">
        <v>277.7101303911735</v>
      </c>
      <c r="D6" t="n">
        <v>278</v>
      </c>
      <c r="E6" t="n">
        <v>245</v>
      </c>
      <c r="F6" t="n">
        <v>812</v>
      </c>
    </row>
    <row r="7">
      <c r="A7" t="inlineStr">
        <is>
          <t>4</t>
        </is>
      </c>
      <c r="B7" t="n">
        <v>3075</v>
      </c>
      <c r="C7" t="n">
        <v>277.8022764227642</v>
      </c>
      <c r="D7" t="n">
        <v>278</v>
      </c>
      <c r="E7" t="n">
        <v>250</v>
      </c>
      <c r="F7" t="n">
        <v>631</v>
      </c>
    </row>
    <row r="8">
      <c r="A8" t="inlineStr">
        <is>
          <t>5+</t>
        </is>
      </c>
      <c r="B8" t="n">
        <v>2407</v>
      </c>
      <c r="C8" t="n">
        <v>277.761113419194</v>
      </c>
      <c r="D8" t="n">
        <v>278</v>
      </c>
      <c r="E8" t="n">
        <v>241</v>
      </c>
      <c r="F8" t="n">
        <v>597</v>
      </c>
    </row>
    <row r="10">
      <c r="A10" t="inlineStr">
        <is>
          <t>Кластеры срока до отёла</t>
        </is>
      </c>
    </row>
    <row r="11">
      <c r="A11" s="1" t="inlineStr">
        <is>
          <t>Кластер срока до отёла</t>
        </is>
      </c>
      <c r="B11" s="1" t="inlineStr">
        <is>
          <t>Количество случаев</t>
        </is>
      </c>
      <c r="C11" s="1" t="inlineStr">
        <is>
          <t>Доля от всех случаев, %</t>
        </is>
      </c>
      <c r="D11" s="1" t="inlineStr">
        <is>
          <t>Средний срок до отёла, дней</t>
        </is>
      </c>
      <c r="E11" s="1" t="inlineStr">
        <is>
          <t>Медианный срок, дней</t>
        </is>
      </c>
      <c r="F11" s="1" t="inlineStr">
        <is>
          <t>Преобладающее подразделение</t>
        </is>
      </c>
      <c r="G11" s="1" t="inlineStr">
        <is>
          <t>Доля этого подразделения в кластере, %</t>
        </is>
      </c>
      <c r="H11" s="1" t="inlineStr">
        <is>
          <t>Преобладающий месяц отёла</t>
        </is>
      </c>
      <c r="I11" s="1" t="inlineStr">
        <is>
          <t>Доля этого месяца в кластере, %</t>
        </is>
      </c>
      <c r="J11" s="1" t="inlineStr">
        <is>
          <t>Преобладающая группа лактации</t>
        </is>
      </c>
      <c r="K11" s="1" t="inlineStr">
        <is>
          <t>Доля этой лактации в кластере, %</t>
        </is>
      </c>
    </row>
    <row r="12">
      <c r="A12" t="inlineStr">
        <is>
          <t>&lt;260</t>
        </is>
      </c>
      <c r="B12" t="n">
        <v>236</v>
      </c>
      <c r="C12" t="n">
        <v>0.7747103043035813</v>
      </c>
      <c r="D12" t="n">
        <v>254.5423728813559</v>
      </c>
      <c r="E12" t="n">
        <v>256</v>
      </c>
      <c r="F12" t="inlineStr">
        <is>
          <t>ЖК Добрино</t>
        </is>
      </c>
      <c r="G12" t="n">
        <v>45.33898305084746</v>
      </c>
      <c r="H12" t="inlineStr">
        <is>
          <t>Июль</t>
        </is>
      </c>
      <c r="I12" t="n">
        <v>11.4406779661017</v>
      </c>
      <c r="J12" t="inlineStr">
        <is>
          <t>1</t>
        </is>
      </c>
      <c r="K12" t="n">
        <v>27.11864406779661</v>
      </c>
    </row>
    <row r="13">
      <c r="A13" t="inlineStr">
        <is>
          <t>260–264</t>
        </is>
      </c>
      <c r="B13" t="n">
        <v>236</v>
      </c>
      <c r="C13" t="n">
        <v>0.7747103043035813</v>
      </c>
      <c r="D13" t="n">
        <v>262.3220338983051</v>
      </c>
      <c r="E13" t="n">
        <v>262</v>
      </c>
      <c r="F13" t="inlineStr">
        <is>
          <t>ЖК Добрино</t>
        </is>
      </c>
      <c r="G13" t="n">
        <v>48.72881355932203</v>
      </c>
      <c r="H13" t="inlineStr">
        <is>
          <t>Сентябрь</t>
        </is>
      </c>
      <c r="I13" t="n">
        <v>11.86440677966102</v>
      </c>
      <c r="J13" t="inlineStr">
        <is>
          <t>3</t>
        </is>
      </c>
      <c r="K13" t="n">
        <v>25</v>
      </c>
    </row>
    <row r="14">
      <c r="A14" t="inlineStr">
        <is>
          <t>265–269</t>
        </is>
      </c>
      <c r="B14" t="n">
        <v>1060</v>
      </c>
      <c r="C14" t="n">
        <v>3.479631027804222</v>
      </c>
      <c r="D14" t="n">
        <v>267.7132075471698</v>
      </c>
      <c r="E14" t="n">
        <v>268</v>
      </c>
      <c r="F14" t="inlineStr">
        <is>
          <t>ЖК Добрино</t>
        </is>
      </c>
      <c r="G14" t="n">
        <v>48.86792452830188</v>
      </c>
      <c r="H14" t="inlineStr">
        <is>
          <t>Май</t>
        </is>
      </c>
      <c r="I14" t="n">
        <v>12.92452830188679</v>
      </c>
      <c r="J14" t="inlineStr">
        <is>
          <t>1</t>
        </is>
      </c>
      <c r="K14" t="n">
        <v>28.96226415094339</v>
      </c>
    </row>
    <row r="15">
      <c r="A15" t="inlineStr">
        <is>
          <t>270–274</t>
        </is>
      </c>
      <c r="B15" t="n">
        <v>6248</v>
      </c>
      <c r="C15" t="n">
        <v>20.51012703935922</v>
      </c>
      <c r="D15" t="n">
        <v>272.5785851472471</v>
      </c>
      <c r="E15" t="n">
        <v>273</v>
      </c>
      <c r="F15" t="inlineStr">
        <is>
          <t>ЖК Добрино</t>
        </is>
      </c>
      <c r="G15" t="n">
        <v>52.80089628681178</v>
      </c>
      <c r="H15" t="inlineStr">
        <is>
          <t>Май</t>
        </is>
      </c>
      <c r="I15" t="n">
        <v>10.32330345710627</v>
      </c>
      <c r="J15" t="inlineStr">
        <is>
          <t>1</t>
        </is>
      </c>
      <c r="K15" t="n">
        <v>28.04097311139564</v>
      </c>
    </row>
    <row r="16">
      <c r="A16" t="inlineStr">
        <is>
          <t>275–279</t>
        </is>
      </c>
      <c r="B16" t="n">
        <v>13445</v>
      </c>
      <c r="C16" t="n">
        <v>44.1355086498375</v>
      </c>
      <c r="D16" t="n">
        <v>277.0484194867981</v>
      </c>
      <c r="E16" t="n">
        <v>277</v>
      </c>
      <c r="F16" t="inlineStr">
        <is>
          <t>ЖК Добрино</t>
        </is>
      </c>
      <c r="G16" t="n">
        <v>52.44328746746002</v>
      </c>
      <c r="H16" t="inlineStr">
        <is>
          <t>Октябрь</t>
        </is>
      </c>
      <c r="I16" t="n">
        <v>9.929341762737078</v>
      </c>
      <c r="J16" t="inlineStr">
        <is>
          <t>1</t>
        </is>
      </c>
      <c r="K16" t="n">
        <v>27.57902566009669</v>
      </c>
    </row>
    <row r="17">
      <c r="A17" t="inlineStr">
        <is>
          <t>280–284</t>
        </is>
      </c>
      <c r="B17" t="n">
        <v>7760</v>
      </c>
      <c r="C17" t="n">
        <v>25.47352526015166</v>
      </c>
      <c r="D17" t="n">
        <v>281.501675257732</v>
      </c>
      <c r="E17" t="n">
        <v>281</v>
      </c>
      <c r="F17" t="inlineStr">
        <is>
          <t>ЖК Добрино</t>
        </is>
      </c>
      <c r="G17" t="n">
        <v>49.27835051546392</v>
      </c>
      <c r="H17" t="inlineStr">
        <is>
          <t>Декабрь</t>
        </is>
      </c>
      <c r="I17" t="n">
        <v>11.61082474226804</v>
      </c>
      <c r="J17" t="inlineStr">
        <is>
          <t>1</t>
        </is>
      </c>
      <c r="K17" t="n">
        <v>26.25</v>
      </c>
    </row>
    <row r="18">
      <c r="A18" t="inlineStr">
        <is>
          <t>285–289</t>
        </is>
      </c>
      <c r="B18" t="n">
        <v>1284</v>
      </c>
      <c r="C18" t="n">
        <v>4.214949282736434</v>
      </c>
      <c r="D18" t="n">
        <v>286.2102803738318</v>
      </c>
      <c r="E18" t="n">
        <v>286</v>
      </c>
      <c r="F18" t="inlineStr">
        <is>
          <t>ЖК Добрино</t>
        </is>
      </c>
      <c r="G18" t="n">
        <v>41.74454828660436</v>
      </c>
      <c r="H18" t="inlineStr">
        <is>
          <t>Октябрь</t>
        </is>
      </c>
      <c r="I18" t="n">
        <v>14.6417445482866</v>
      </c>
      <c r="J18" t="inlineStr">
        <is>
          <t>2</t>
        </is>
      </c>
      <c r="K18" t="n">
        <v>22.74143302180685</v>
      </c>
    </row>
    <row r="19">
      <c r="A19" t="inlineStr">
        <is>
          <t>290+</t>
        </is>
      </c>
      <c r="B19" t="n">
        <v>194</v>
      </c>
      <c r="C19" t="n">
        <v>0.6368381315037915</v>
      </c>
      <c r="D19" t="n">
        <v>329.8762886597938</v>
      </c>
      <c r="E19" t="n">
        <v>292</v>
      </c>
      <c r="F19" t="inlineStr">
        <is>
          <t>ЖК Добрино</t>
        </is>
      </c>
      <c r="G19" t="n">
        <v>35.56701030927835</v>
      </c>
      <c r="H19" t="inlineStr">
        <is>
          <t>Ноябрь</t>
        </is>
      </c>
      <c r="I19" t="n">
        <v>14.43298969072165</v>
      </c>
      <c r="J19" t="inlineStr">
        <is>
          <t>2</t>
        </is>
      </c>
      <c r="K19" t="n">
        <v>20.61855670103093</v>
      </c>
    </row>
    <row r="21">
      <c r="A21" t="inlineStr">
        <is>
          <t>Отёлы в первые 7 дней месяца</t>
        </is>
      </c>
    </row>
    <row r="22">
      <c r="A22" s="1" t="inlineStr">
        <is>
          <t>Подразделение</t>
        </is>
      </c>
      <c r="B22" s="1" t="inlineStr">
        <is>
          <t>Месяцев в расчёте</t>
        </is>
      </c>
      <c r="C22" s="1" t="inlineStr">
        <is>
          <t>Среднее число отёлов за месяц</t>
        </is>
      </c>
      <c r="D22" s="1" t="inlineStr">
        <is>
          <t>Среднее число отёлов в первые 7 дней месяца</t>
        </is>
      </c>
      <c r="E22" s="1" t="inlineStr">
        <is>
          <t>Средняя доля отёлов в первые 7 дней месяца, %</t>
        </is>
      </c>
    </row>
    <row r="23">
      <c r="A23" t="inlineStr">
        <is>
          <t>ЖК Высокое</t>
        </is>
      </c>
      <c r="B23" t="n">
        <v>54</v>
      </c>
      <c r="C23" t="n">
        <v>181.537037037037</v>
      </c>
      <c r="D23" t="n">
        <v>44.12962962962963</v>
      </c>
      <c r="E23" t="n">
        <v>24.578164360168</v>
      </c>
    </row>
    <row r="24">
      <c r="A24" t="inlineStr">
        <is>
          <t>ЖК Добрино</t>
        </is>
      </c>
      <c r="B24" t="n">
        <v>54</v>
      </c>
      <c r="C24" t="n">
        <v>287.3888888888889</v>
      </c>
      <c r="D24" t="n">
        <v>68.9074074074074</v>
      </c>
      <c r="E24" t="n">
        <v>24.08661362897918</v>
      </c>
    </row>
    <row r="25">
      <c r="A25" t="inlineStr">
        <is>
          <t>МТФ ЭНАЛБ</t>
        </is>
      </c>
      <c r="B25" t="n">
        <v>54</v>
      </c>
      <c r="C25" t="n">
        <v>60.96296296296296</v>
      </c>
      <c r="D25" t="n">
        <v>14.92592592592593</v>
      </c>
      <c r="E25" t="n">
        <v>25.07495788028694</v>
      </c>
    </row>
    <row r="26">
      <c r="A26" t="inlineStr">
        <is>
          <t>РЖК Добрино</t>
        </is>
      </c>
      <c r="B26" t="n">
        <v>53</v>
      </c>
      <c r="C26" t="n">
        <v>34.88679245283019</v>
      </c>
      <c r="D26" t="n">
        <v>9.018867924528301</v>
      </c>
      <c r="E26" t="n">
        <v>26.84739637171316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2026-03-27T10:51:22Z</dcterms:created>
  <dcterms:modified xmlns:dcterms="http://purl.org/dc/terms/" xmlns:xsi="http://www.w3.org/2001/XMLSchema-instance" xsi:type="dcterms:W3CDTF">2026-03-27T10:51:22+00:00Z</dcterms:modified>
</cp:coreProperties>
</file>